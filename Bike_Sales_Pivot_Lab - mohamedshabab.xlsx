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0" documentId="8_{8B1441CF-7A9A-4F03-AB1C-8866EB4A9B5D}" xr6:coauthVersionLast="47" xr6:coauthVersionMax="47" xr10:uidLastSave="{00000000-0000-0000-0000-000000000000}"/>
  <bookViews>
    <workbookView xWindow="-28920" yWindow="-1530" windowWidth="29040" windowHeight="16440" activeTab="1" xr2:uid="{00000000-000D-0000-FFFF-FFFF00000000}"/>
  </bookViews>
  <sheets>
    <sheet name="Bike Sales" sheetId="1" r:id="rId1"/>
    <sheet name="Sheet1" sheetId="2" r:id="rId2"/>
  </sheets>
  <definedNames>
    <definedName name="_xlnm._FilterDatabase" localSheetId="0" hidden="1">'Bike Sales'!$A$1:$S$89</definedName>
  </definedNames>
  <calcPr calcId="191028"/>
  <pivotCaches>
    <pivotCache cacheId="3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<sst xmlns="http://schemas.openxmlformats.org/spreadsheetml/2006/main" count="835" uniqueCount="161">
  <si>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</si>
  <si>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</si>
  <si>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</si>
  <si>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</si>
  <si>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</si>
  <si>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</si>
  <si>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</si>
  <si>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</si>
  <si>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</si>
  <si>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</si>
  <si>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</si>
  <si>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</si>
  <si>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</si>
  <si>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</si>
  <si>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</si>
  <si>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</si>
  <si>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</si>
  <si>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</si>
  <si>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</si>
  <si>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</si>
  <si>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</si>
  <si>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</si>
  <si>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</si>
  <si>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</si>
  <si>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</si>
  <si>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</si>
  <si>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</si>
  <si>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</si>
  <si>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</si>
  <si>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</si>
  <si>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</si>
  <si>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</si>
  <si>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</si>
  <si>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</si>
  <si>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</si>
  <si>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</si>
  <si>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</si>
  <si>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</si>
  <si>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</si>
  <si>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</si>
  <si>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</si>
  <si>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</si>
  <si>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</si>
  <si>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</si>
  <si>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</si>
  <si>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</si>
  <si>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</si>
  <si>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</si>
  <si>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</si>
  <si>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</si>
  <si>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</si>
  <si>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</si>
  <si>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</si>
  <si>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</si>
  <si>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</si>
  <si>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</si>
  <si>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</si>
  <si>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</si>
  <si>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</si>
  <si>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</si>
  <si>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</si>
  <si>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</si>
  <si>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</si>
  <si>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</si>
  <si>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</si>
  <si>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</si>
  <si>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</si>
  <si>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</si>
  <si>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</si>
  <si>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</si>
  <si>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</si>
  <si>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</si>
  <si>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</si>
  <si>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</si>
  <si>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</si>
  <si>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</si>
  <si>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</si>
  <si>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</si>
  <si>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</si>
  <si>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</si>
  <si>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</si>
  <si>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</si>
  <si>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</si>
  <si>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</si>
  <si>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</si>
  <si>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</si>
  <si>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</si>
  <si>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</si>
  <si>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</si>
  <si>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</si>
  <si>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</si>
  <si>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</si>
  <si>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</si>
  <si>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</si>
  <si>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</si>
  <si>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</si>
  <si>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</si>
  <si>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</si>
  <si>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</si>
  <si>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</si>
  <si>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</si>
  <si>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</si>
  <si>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</si>
  <si>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</si>
  <si>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</si>
  <si>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</si>
  <si>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</si>
  <si>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</si>
  <si>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</si>
  <si>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</si>
  <si>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</si>
  <si>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</si>
  <si>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</si>
  <si>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</si>
  <si>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</si>
  <si>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</si>
  <si>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</si>
  <si>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</si>
  <si>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</si>
  <si>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</si>
  <si>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</si>
  <si>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</si>
  <si>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</si>
  <si>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</si>
  <si>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</si>
  <si>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</si>
  <si>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</si>
  <si>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</si>
  <si>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</si>
  <si>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</si>
  <si>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</si>
  <si>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</si>
  <si>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</si>
  <si>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</si>
  <si>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</si>
  <si>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</si>
  <si>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</si>
  <si>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</si>
  <si>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</si>
  <si>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</si>
  <si>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</si>
  <si>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</si>
  <si>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</si>
  <si>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</si>
  <si>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</si>
  <si>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</si>
  <si>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</si>
  <si>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</si>
  <si>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</si>
  <si>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</si>
  <si>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</si>
  <si>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</si>
  <si>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</si>
  <si>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</si>
  <si>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</si>
  <si>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</si>
  <si>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</si>
  <si>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</si>
  <si>
    <t>Youth (&lt;25) Total</t>
  </si>
  <si>
    <t>Young Adults (25-34) Total</t>
  </si>
  <si>
    <t>Adults (35-64)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</si>
</sst>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59999389629810485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59999389629810485"/>
      </right>
      <top/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pivotButton="1" applyBorder="1"/>
    <xf numFmtId="0" fontId="0" fillId="0" borderId="12" xfId="0" applyBorder="1"/>
    <xf numFmtId="0" fontId="0" fillId="0" borderId="11" xfId="0" applyBorder="1"/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0" fontId="0" fillId="0" borderId="12" xfId="0" pivotButton="1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general"/>
    </dxf>
    <dxf>
      <alignment horizontal="general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E-4609-8B68-702A1FE15180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9E-4609-8B68-702A1FE15180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9E-4609-8B68-702A1FE15180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9E-4609-8B68-702A1FE15180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9E-4609-8B68-702A1FE15180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9E-4609-8B68-702A1FE15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8588296"/>
        <c:axId val="2137949703"/>
      </c:barChart>
      <c:catAx>
        <c:axId val="124858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949703"/>
        <c:crosses val="autoZero"/>
        <c:auto val="1"/>
        <c:lblAlgn val="ctr"/>
        <c:lblOffset val="100"/>
        <c:noMultiLvlLbl val="0"/>
      </c:catAx>
      <c:valAx>
        <c:axId val="213794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8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161925</xdr:rowOff>
    </xdr:from>
    <xdr:to>
      <xdr:col>9</xdr:col>
      <xdr:colOff>19050</xdr:colOff>
      <xdr:row>33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F7C438-E48E-A187-7191-2FE8F2B11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58312037034" createdVersion="8" refreshedVersion="8" minRefreshableVersion="3" recordCount="88" xr:uid="{8BF75068-6515-4A57-A791-B0EE61066ECC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EFF2A-A750-4528-BE9B-1DFABB1220BF}" name="PivotTable1" cacheId="34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2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sortType="descending">
      <items count="7">
        <item x="0"/>
        <item x="1"/>
        <item x="3"/>
        <item x="5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7">
    <format dxfId="0">
      <pivotArea field="8" type="button" dataOnly="0" labelOnly="1" outline="0" axis="axisCol" fieldPosition="0"/>
    </format>
    <format dxfId="1">
      <pivotArea type="topRight" dataOnly="0" labelOnly="1" outline="0" fieldPosition="0"/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type="origin" dataOnly="0" labelOnly="1" outline="0" fieldPosition="0"/>
    </format>
    <format dxfId="5">
      <pivotArea field="8" type="button" dataOnly="0" labelOnly="1" outline="0" axis="axisCol" fieldPosition="0"/>
    </format>
    <format dxfId="6">
      <pivotArea type="topRight" dataOnly="0" labelOnly="1" outline="0" fieldPosition="0"/>
    </format>
    <format dxfId="7">
      <pivotArea field="6" type="button" dataOnly="0" labelOnly="1" outline="0" axis="axisRow" fieldPosition="0"/>
    </format>
    <format dxfId="8">
      <pivotArea field="7" type="button" dataOnly="0" labelOnly="1" outline="0" axis="axisRow" fieldPosition="1"/>
    </format>
    <format dxfId="9">
      <pivotArea dataOnly="0" labelOnly="1" outline="0" fieldPosition="0">
        <references count="1">
          <reference field="6" count="0"/>
        </references>
      </pivotArea>
    </format>
    <format dxfId="10">
      <pivotArea dataOnly="0" labelOnly="1" outline="0" fieldPosition="0">
        <references count="1">
          <reference field="6" count="0" defaultSubtotal="1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2">
          <reference field="6" count="1" selected="0">
            <x v="0"/>
          </reference>
          <reference field="7" count="0"/>
        </references>
      </pivotArea>
    </format>
    <format dxfId="13">
      <pivotArea dataOnly="0" labelOnly="1" outline="0" fieldPosition="0">
        <references count="2">
          <reference field="6" count="1" selected="0">
            <x v="1"/>
          </reference>
          <reference field="7" count="0"/>
        </references>
      </pivotArea>
    </format>
    <format dxfId="14">
      <pivotArea dataOnly="0" labelOnly="1" outline="0" fieldPosition="0">
        <references count="2">
          <reference field="6" count="1" selected="0">
            <x v="2"/>
          </reference>
          <reference field="7" count="0"/>
        </references>
      </pivotArea>
    </format>
    <format dxfId="15">
      <pivotArea dataOnly="0" labelOnly="1" outline="0" fieldPosition="0">
        <references count="1">
          <reference field="8" count="0"/>
        </references>
      </pivotArea>
    </format>
    <format dxfId="16">
      <pivotArea dataOnly="0" labelOnly="1" grandCol="1" outline="0" fieldPosition="0"/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U12" sqref="U12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1904-05F8-49F0-8A9E-EB44E9DC42B4}">
  <dimension ref="A3:I14"/>
  <sheetViews>
    <sheetView tabSelected="1" workbookViewId="0">
      <selection activeCell="T10" sqref="T10"/>
    </sheetView>
  </sheetViews>
  <sheetFormatPr defaultRowHeight="15"/>
  <cols>
    <col min="1" max="1" width="22.42578125" bestFit="1" customWidth="1"/>
    <col min="2" max="2" width="20.85546875" bestFit="1" customWidth="1"/>
    <col min="3" max="3" width="13.28515625" bestFit="1" customWidth="1"/>
    <col min="4" max="4" width="15.7109375" bestFit="1" customWidth="1"/>
    <col min="5" max="5" width="9.28515625" bestFit="1" customWidth="1"/>
    <col min="6" max="6" width="7" bestFit="1" customWidth="1"/>
    <col min="7" max="7" width="7.7109375" bestFit="1" customWidth="1"/>
    <col min="8" max="8" width="9.140625" bestFit="1" customWidth="1"/>
    <col min="9" max="9" width="11.7109375" bestFit="1" customWidth="1"/>
  </cols>
  <sheetData>
    <row r="3" spans="1:9">
      <c r="A3" s="13" t="s">
        <v>156</v>
      </c>
      <c r="B3" s="14"/>
      <c r="C3" s="13" t="s">
        <v>8</v>
      </c>
      <c r="D3" s="15"/>
      <c r="E3" s="15"/>
      <c r="F3" s="15"/>
      <c r="G3" s="15"/>
      <c r="H3" s="15"/>
      <c r="I3" s="14"/>
    </row>
    <row r="4" spans="1:9">
      <c r="A4" s="16" t="s">
        <v>6</v>
      </c>
      <c r="B4" s="10" t="s">
        <v>7</v>
      </c>
      <c r="C4" s="11" t="s">
        <v>23</v>
      </c>
      <c r="D4" s="9" t="s">
        <v>30</v>
      </c>
      <c r="E4" s="9" t="s">
        <v>49</v>
      </c>
      <c r="F4" s="9" t="s">
        <v>86</v>
      </c>
      <c r="G4" s="9" t="s">
        <v>57</v>
      </c>
      <c r="H4" s="9" t="s">
        <v>37</v>
      </c>
      <c r="I4" s="12" t="s">
        <v>157</v>
      </c>
    </row>
    <row r="5" spans="1:9">
      <c r="A5" s="11" t="s">
        <v>42</v>
      </c>
      <c r="B5" s="12" t="s">
        <v>22</v>
      </c>
      <c r="C5" s="11">
        <v>0</v>
      </c>
      <c r="D5" s="9">
        <v>1</v>
      </c>
      <c r="E5" s="9">
        <v>0</v>
      </c>
      <c r="F5" s="9">
        <v>6</v>
      </c>
      <c r="G5" s="9">
        <v>0</v>
      </c>
      <c r="H5" s="9">
        <v>9</v>
      </c>
      <c r="I5" s="12">
        <v>16</v>
      </c>
    </row>
    <row r="6" spans="1:9">
      <c r="A6" s="11"/>
      <c r="B6" s="12" t="s">
        <v>29</v>
      </c>
      <c r="C6" s="11">
        <v>0</v>
      </c>
      <c r="D6" s="9">
        <v>5</v>
      </c>
      <c r="E6" s="9">
        <v>0</v>
      </c>
      <c r="F6" s="9">
        <v>4</v>
      </c>
      <c r="G6" s="9">
        <v>0</v>
      </c>
      <c r="H6" s="9">
        <v>2</v>
      </c>
      <c r="I6" s="12">
        <v>11</v>
      </c>
    </row>
    <row r="7" spans="1:9">
      <c r="A7" s="11" t="s">
        <v>158</v>
      </c>
      <c r="B7" s="12"/>
      <c r="C7" s="11">
        <v>0</v>
      </c>
      <c r="D7" s="9">
        <v>6</v>
      </c>
      <c r="E7" s="9">
        <v>0</v>
      </c>
      <c r="F7" s="9">
        <v>10</v>
      </c>
      <c r="G7" s="9">
        <v>0</v>
      </c>
      <c r="H7" s="9">
        <v>11</v>
      </c>
      <c r="I7" s="12">
        <v>27</v>
      </c>
    </row>
    <row r="8" spans="1:9">
      <c r="A8" s="11" t="s">
        <v>36</v>
      </c>
      <c r="B8" s="12" t="s">
        <v>22</v>
      </c>
      <c r="C8" s="11">
        <v>10</v>
      </c>
      <c r="D8" s="9">
        <v>3</v>
      </c>
      <c r="E8" s="9">
        <v>0</v>
      </c>
      <c r="F8" s="9">
        <v>1</v>
      </c>
      <c r="G8" s="9">
        <v>6</v>
      </c>
      <c r="H8" s="9">
        <v>17</v>
      </c>
      <c r="I8" s="12">
        <v>37</v>
      </c>
    </row>
    <row r="9" spans="1:9">
      <c r="A9" s="11"/>
      <c r="B9" s="12" t="s">
        <v>29</v>
      </c>
      <c r="C9" s="11">
        <v>6</v>
      </c>
      <c r="D9" s="9">
        <v>1</v>
      </c>
      <c r="E9" s="9">
        <v>0</v>
      </c>
      <c r="F9" s="9">
        <v>9</v>
      </c>
      <c r="G9" s="9">
        <v>5</v>
      </c>
      <c r="H9" s="9">
        <v>3</v>
      </c>
      <c r="I9" s="12">
        <v>24</v>
      </c>
    </row>
    <row r="10" spans="1:9">
      <c r="A10" s="11" t="s">
        <v>159</v>
      </c>
      <c r="B10" s="12"/>
      <c r="C10" s="11">
        <v>16</v>
      </c>
      <c r="D10" s="9">
        <v>4</v>
      </c>
      <c r="E10" s="9">
        <v>0</v>
      </c>
      <c r="F10" s="9">
        <v>10</v>
      </c>
      <c r="G10" s="9">
        <v>11</v>
      </c>
      <c r="H10" s="9">
        <v>20</v>
      </c>
      <c r="I10" s="12">
        <v>61</v>
      </c>
    </row>
    <row r="11" spans="1:9">
      <c r="A11" s="11" t="s">
        <v>21</v>
      </c>
      <c r="B11" s="12" t="s">
        <v>22</v>
      </c>
      <c r="C11" s="11">
        <v>29</v>
      </c>
      <c r="D11" s="9">
        <v>1</v>
      </c>
      <c r="E11" s="9">
        <v>8</v>
      </c>
      <c r="F11" s="9">
        <v>0</v>
      </c>
      <c r="G11" s="9">
        <v>0</v>
      </c>
      <c r="H11" s="9">
        <v>17</v>
      </c>
      <c r="I11" s="12">
        <v>55</v>
      </c>
    </row>
    <row r="12" spans="1:9">
      <c r="A12" s="11"/>
      <c r="B12" s="12" t="s">
        <v>29</v>
      </c>
      <c r="C12" s="11">
        <v>21</v>
      </c>
      <c r="D12" s="9">
        <v>3</v>
      </c>
      <c r="E12" s="9">
        <v>5</v>
      </c>
      <c r="F12" s="9">
        <v>0</v>
      </c>
      <c r="G12" s="9">
        <v>0</v>
      </c>
      <c r="H12" s="9">
        <v>15</v>
      </c>
      <c r="I12" s="12">
        <v>44</v>
      </c>
    </row>
    <row r="13" spans="1:9">
      <c r="A13" s="11" t="s">
        <v>160</v>
      </c>
      <c r="B13" s="12"/>
      <c r="C13" s="11">
        <v>50</v>
      </c>
      <c r="D13" s="9">
        <v>4</v>
      </c>
      <c r="E13" s="9">
        <v>13</v>
      </c>
      <c r="F13" s="9">
        <v>0</v>
      </c>
      <c r="G13" s="9">
        <v>0</v>
      </c>
      <c r="H13" s="9">
        <v>32</v>
      </c>
      <c r="I13" s="12">
        <v>99</v>
      </c>
    </row>
    <row r="14" spans="1:9">
      <c r="A14" s="17" t="s">
        <v>157</v>
      </c>
      <c r="B14" s="18"/>
      <c r="C14" s="17">
        <v>66</v>
      </c>
      <c r="D14" s="19">
        <v>14</v>
      </c>
      <c r="E14" s="19">
        <v>13</v>
      </c>
      <c r="F14" s="19">
        <v>20</v>
      </c>
      <c r="G14" s="19">
        <v>11</v>
      </c>
      <c r="H14" s="19">
        <v>63</v>
      </c>
      <c r="I14" s="18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2025-11-22T20:58:57Z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